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044085\Documents\MPACC\管理会计\data\"/>
    </mc:Choice>
  </mc:AlternateContent>
  <xr:revisionPtr revIDLastSave="0" documentId="13_ncr:1_{3341F9B1-9A0B-48CE-B808-32F3BD235C4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istory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F3" i="2"/>
  <c r="F4" i="2"/>
  <c r="F5" i="2"/>
  <c r="F2" i="2"/>
</calcChain>
</file>

<file path=xl/sharedStrings.xml><?xml version="1.0" encoding="utf-8"?>
<sst xmlns="http://schemas.openxmlformats.org/spreadsheetml/2006/main" count="7" uniqueCount="7">
  <si>
    <t>Year</t>
  </si>
  <si>
    <t>Revenue</t>
  </si>
  <si>
    <t>COGS</t>
  </si>
  <si>
    <t>GrossProfit</t>
  </si>
  <si>
    <t>OtherExpenses</t>
  </si>
  <si>
    <t>NetProfit</t>
  </si>
  <si>
    <t>CustomerCount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</si>
</sst>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3749-F4FD-4455-BB7F-DBE27004CC87}">
  <dimension ref="A1:G6"/>
  <sheetViews>
    <sheetView tabSelected="1" workbookViewId="0">
      <selection activeCell="E10" sqref="E10"/>
    </sheetView>
  </sheetViews>
  <sheetFormatPr defaultRowHeight="14.25" x14ac:dyDescent="0.2"/>
  <cols>
    <col min="2" max="3" width="16.25" bestFit="1" customWidth="1"/>
    <col min="4" max="4" width="11.375" bestFit="1" customWidth="1"/>
    <col min="5" max="5" width="16.25" bestFit="1" customWidth="1"/>
    <col min="6" max="6" width="11.375" bestFit="1" customWidth="1"/>
    <col min="7" max="7" width="14.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2016</v>
      </c>
      <c r="B2" s="2">
        <v>192575613</v>
      </c>
      <c r="C2" s="2">
        <v>127099905</v>
      </c>
      <c r="D2" s="1">
        <v>65475708</v>
      </c>
      <c r="E2" s="2">
        <v>51815831</v>
      </c>
      <c r="F2" s="1">
        <f>D2-E2</f>
        <v>13659877</v>
      </c>
      <c r="G2" s="1">
        <v>443</v>
      </c>
    </row>
    <row r="3" spans="1:7" x14ac:dyDescent="0.2">
      <c r="A3" s="1">
        <v>2017</v>
      </c>
      <c r="B3" s="2">
        <v>223387711</v>
      </c>
      <c r="C3" s="2">
        <v>147659277</v>
      </c>
      <c r="D3" s="1">
        <v>75728434</v>
      </c>
      <c r="E3" s="2">
        <v>60429372</v>
      </c>
      <c r="F3" s="1">
        <f t="shared" ref="F3:F6" si="0">D3-E3</f>
        <v>15299062</v>
      </c>
      <c r="G3" s="1">
        <v>508</v>
      </c>
    </row>
    <row r="4" spans="1:7" x14ac:dyDescent="0.2">
      <c r="A4" s="1">
        <v>2018</v>
      </c>
      <c r="B4" s="2">
        <v>290404025</v>
      </c>
      <c r="C4" s="2">
        <v>192828272</v>
      </c>
      <c r="D4" s="1">
        <v>97575753</v>
      </c>
      <c r="E4" s="2">
        <v>79828840</v>
      </c>
      <c r="F4" s="1">
        <f t="shared" si="0"/>
        <v>17746913</v>
      </c>
      <c r="G4" s="1">
        <v>661</v>
      </c>
    </row>
    <row r="5" spans="1:7" x14ac:dyDescent="0.2">
      <c r="A5" s="1">
        <v>2019</v>
      </c>
      <c r="B5" s="2">
        <v>351388870</v>
      </c>
      <c r="C5" s="2">
        <v>233673599</v>
      </c>
      <c r="D5" s="1">
        <v>117715271</v>
      </c>
      <c r="E5" s="2">
        <v>98193668</v>
      </c>
      <c r="F5" s="1">
        <f t="shared" si="0"/>
        <v>19521603</v>
      </c>
      <c r="G5" s="1">
        <v>826</v>
      </c>
    </row>
    <row r="6" spans="1:7" x14ac:dyDescent="0.2">
      <c r="A6" s="1">
        <v>2020</v>
      </c>
      <c r="B6" s="2">
        <v>421666644</v>
      </c>
      <c r="C6" s="2">
        <v>281475023</v>
      </c>
      <c r="D6" s="1">
        <v>140191621</v>
      </c>
      <c r="E6" s="2">
        <v>119108289</v>
      </c>
      <c r="F6" s="1">
        <f>D6-E6</f>
        <v>21083332</v>
      </c>
      <c r="G6" s="1"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Weili 易唯立 (690)</dc:creator>
  <cp:lastModifiedBy>Yi Weili 易唯立 (690)</cp:lastModifiedBy>
  <dcterms:created xsi:type="dcterms:W3CDTF">2015-06-05T18:19:34Z</dcterms:created>
  <dcterms:modified xsi:type="dcterms:W3CDTF">2025-11-03T14:15:19Z</dcterms:modified>
</cp:coreProperties>
</file>